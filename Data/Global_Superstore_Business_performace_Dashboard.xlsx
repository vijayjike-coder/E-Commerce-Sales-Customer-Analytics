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 Performance" sheetId="1" r:id="rId5"/>
    <sheet state="visible" name="Top Costumers" sheetId="2" r:id="rId6"/>
    <sheet state="visible" name="Regional Efficiency" sheetId="3" r:id="rId7"/>
  </sheets>
  <definedNames/>
  <calcPr/>
</workbook>
</file>

<file path=xl/sharedStrings.xml><?xml version="1.0" encoding="utf-8"?>
<sst xmlns="http://schemas.openxmlformats.org/spreadsheetml/2006/main" count="94" uniqueCount="62">
  <si>
    <t>Category</t>
  </si>
  <si>
    <t>Sub-Category</t>
  </si>
  <si>
    <t>Total_Sales</t>
  </si>
  <si>
    <t>Total_Profit</t>
  </si>
  <si>
    <t>Profit _Margin</t>
  </si>
  <si>
    <t>Technology</t>
  </si>
  <si>
    <t>Phones</t>
  </si>
  <si>
    <t>Copiers</t>
  </si>
  <si>
    <t>Furniture</t>
  </si>
  <si>
    <t>Chairs</t>
  </si>
  <si>
    <t>Bookcases</t>
  </si>
  <si>
    <t>Office Supplies</t>
  </si>
  <si>
    <t>Storage</t>
  </si>
  <si>
    <t>Appliances</t>
  </si>
  <si>
    <t>Machines</t>
  </si>
  <si>
    <t>Tables</t>
  </si>
  <si>
    <t>Accessories</t>
  </si>
  <si>
    <t>Binders</t>
  </si>
  <si>
    <t>Furnishings</t>
  </si>
  <si>
    <t>Art</t>
  </si>
  <si>
    <t>Paper</t>
  </si>
  <si>
    <t>Supplies</t>
  </si>
  <si>
    <t>Envelopes</t>
  </si>
  <si>
    <t>Fasteners</t>
  </si>
  <si>
    <t>Labels</t>
  </si>
  <si>
    <t>Customer Name</t>
  </si>
  <si>
    <t>Segment</t>
  </si>
  <si>
    <t>Total_Spent</t>
  </si>
  <si>
    <t>Total_Profit_Contribution</t>
  </si>
  <si>
    <t>Tamara Chand</t>
  </si>
  <si>
    <t>Corporate</t>
  </si>
  <si>
    <t>Raymond Buch</t>
  </si>
  <si>
    <t>Consumer</t>
  </si>
  <si>
    <t>Sanjit Chand</t>
  </si>
  <si>
    <t>Hunter Lopez</t>
  </si>
  <si>
    <t>Bill Eplett</t>
  </si>
  <si>
    <t>Home Office</t>
  </si>
  <si>
    <t>Harry Marie</t>
  </si>
  <si>
    <t>Susan Pistek</t>
  </si>
  <si>
    <t>Mike Gockenbach</t>
  </si>
  <si>
    <t>Adrian Barton</t>
  </si>
  <si>
    <t>Tom Ashbrook</t>
  </si>
  <si>
    <t>Region</t>
  </si>
  <si>
    <t>Market</t>
  </si>
  <si>
    <t>Profit_Margin_Percent</t>
  </si>
  <si>
    <t>Canada</t>
  </si>
  <si>
    <t>North Asia</t>
  </si>
  <si>
    <t>APAC</t>
  </si>
  <si>
    <t>Central Asia</t>
  </si>
  <si>
    <t>North</t>
  </si>
  <si>
    <t>EU</t>
  </si>
  <si>
    <t>West</t>
  </si>
  <si>
    <t>US</t>
  </si>
  <si>
    <t>East</t>
  </si>
  <si>
    <t>Africa</t>
  </si>
  <si>
    <t>Central</t>
  </si>
  <si>
    <t>Oceania</t>
  </si>
  <si>
    <t>Caribbean</t>
  </si>
  <si>
    <t>LATAM</t>
  </si>
  <si>
    <t>South</t>
  </si>
  <si>
    <t>EMEA</t>
  </si>
  <si>
    <t>Southeast Asia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</si>
</sst>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Sub-Category Performance: Sales Volume vs Profit Margin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Performance'!$C$1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'Category Performance'!$B$2:$B$18</c:f>
            </c:strRef>
          </c:cat>
          <c:val>
            <c:numRef>
              <c:f>'Category Performance'!$C$2:$C$18</c:f>
              <c:numCache/>
            </c:numRef>
          </c:val>
        </c:ser>
        <c:axId val="345115998"/>
        <c:axId val="31886205"/>
      </c:barChart>
      <c:catAx>
        <c:axId val="345115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886205"/>
      </c:catAx>
      <c:valAx>
        <c:axId val="31886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115998"/>
      </c:valAx>
      <c:lineChart>
        <c:varyColors val="0"/>
        <c:ser>
          <c:idx val="1"/>
          <c:order val="1"/>
          <c:tx>
            <c:strRef>
              <c:f>'Category Performance'!$E$1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'Category Performance'!$B$2:$B$18</c:f>
            </c:strRef>
          </c:cat>
          <c:val>
            <c:numRef>
              <c:f>'Category Performance'!$E$2:$E$18</c:f>
              <c:numCache/>
            </c:numRef>
          </c:val>
          <c:smooth val="0"/>
        </c:ser>
        <c:axId val="2093343287"/>
        <c:axId val="1750172445"/>
      </c:lineChart>
      <c:catAx>
        <c:axId val="2093343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172445"/>
      </c:catAx>
      <c:valAx>
        <c:axId val="17501724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3432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Total_Profit_Contribution vs. Customer Name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Costumers'!$D$1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Costumers'!$A$2:$A$11</c:f>
            </c:strRef>
          </c:cat>
          <c:val>
            <c:numRef>
              <c:f>'Top Costumers'!$D$2:$D$11</c:f>
              <c:numCache/>
            </c:numRef>
          </c:val>
        </c:ser>
        <c:axId val="1569667079"/>
        <c:axId val="1861067590"/>
      </c:barChart>
      <c:catAx>
        <c:axId val="15696670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067590"/>
      </c:catAx>
      <c:valAx>
        <c:axId val="18610675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Total_Profit_Contribution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6670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Operational Efficiency: Profit Margin %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'Regional Efficiency'!$E$1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'Regional Efficiency'!$A$2:$A$14</c:f>
            </c:strRef>
          </c:cat>
          <c:val>
            <c:numRef>
              <c:f>'Regional Efficiency'!$E$2:$E$14</c:f>
              <c:numCache/>
            </c:numRef>
          </c:val>
        </c:ser>
        <c:axId val="1430300367"/>
        <c:axId val="956896502"/>
      </c:barChart>
      <c:catAx>
        <c:axId val="143030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896502"/>
      </c:catAx>
      <c:valAx>
        <c:axId val="956896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Profit_Margin_Percent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300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1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1706824.14</v>
      </c>
      <c r="D2" s="3">
        <v>216717.01</v>
      </c>
      <c r="E2" s="4">
        <f t="shared" ref="E2:E19" si="1">D2/C2</f>
        <v>0.1269709075</v>
      </c>
    </row>
    <row r="3">
      <c r="A3" s="2" t="s">
        <v>5</v>
      </c>
      <c r="B3" s="2" t="s">
        <v>7</v>
      </c>
      <c r="C3" s="3">
        <v>1509436.27</v>
      </c>
      <c r="D3" s="3">
        <v>258567.55</v>
      </c>
      <c r="E3" s="4">
        <f t="shared" si="1"/>
        <v>0.17130074</v>
      </c>
    </row>
    <row r="4">
      <c r="A4" s="2" t="s">
        <v>8</v>
      </c>
      <c r="B4" s="2" t="s">
        <v>9</v>
      </c>
      <c r="C4" s="3">
        <v>1501681.76</v>
      </c>
      <c r="D4" s="3">
        <v>140396.27</v>
      </c>
      <c r="E4" s="4">
        <f t="shared" si="1"/>
        <v>0.09349269182</v>
      </c>
    </row>
    <row r="5">
      <c r="A5" s="2" t="s">
        <v>8</v>
      </c>
      <c r="B5" s="2" t="s">
        <v>10</v>
      </c>
      <c r="C5" s="3">
        <v>1466572.24</v>
      </c>
      <c r="D5" s="3">
        <v>161924.42</v>
      </c>
      <c r="E5" s="4">
        <f t="shared" si="1"/>
        <v>0.110410122</v>
      </c>
    </row>
    <row r="6">
      <c r="A6" s="2" t="s">
        <v>11</v>
      </c>
      <c r="B6" s="2" t="s">
        <v>12</v>
      </c>
      <c r="C6" s="3">
        <v>1127085.86</v>
      </c>
      <c r="D6" s="3">
        <v>108461.49</v>
      </c>
      <c r="E6" s="4">
        <f t="shared" si="1"/>
        <v>0.09623179018</v>
      </c>
    </row>
    <row r="7">
      <c r="A7" s="2" t="s">
        <v>11</v>
      </c>
      <c r="B7" s="2" t="s">
        <v>13</v>
      </c>
      <c r="C7" s="3">
        <v>1011064.31</v>
      </c>
      <c r="D7" s="3">
        <v>141680.59</v>
      </c>
      <c r="E7" s="4">
        <f t="shared" si="1"/>
        <v>0.1401301466</v>
      </c>
    </row>
    <row r="8">
      <c r="A8" s="2" t="s">
        <v>5</v>
      </c>
      <c r="B8" s="2" t="s">
        <v>14</v>
      </c>
      <c r="C8" s="3">
        <v>779060.07</v>
      </c>
      <c r="D8" s="3">
        <v>58867.87</v>
      </c>
      <c r="E8" s="4">
        <f t="shared" si="1"/>
        <v>0.07556268415</v>
      </c>
    </row>
    <row r="9">
      <c r="A9" s="2" t="s">
        <v>8</v>
      </c>
      <c r="B9" s="2" t="s">
        <v>15</v>
      </c>
      <c r="C9" s="3">
        <v>757041.92</v>
      </c>
      <c r="D9" s="3">
        <v>-64083.39</v>
      </c>
      <c r="E9" s="4">
        <f t="shared" si="1"/>
        <v>-0.08464972455</v>
      </c>
    </row>
    <row r="10">
      <c r="A10" s="2" t="s">
        <v>5</v>
      </c>
      <c r="B10" s="2" t="s">
        <v>16</v>
      </c>
      <c r="C10" s="3">
        <v>749237.02</v>
      </c>
      <c r="D10" s="3">
        <v>129626.31</v>
      </c>
      <c r="E10" s="4">
        <f t="shared" si="1"/>
        <v>0.1730110853</v>
      </c>
    </row>
    <row r="11">
      <c r="A11" s="2" t="s">
        <v>11</v>
      </c>
      <c r="B11" s="2" t="s">
        <v>17</v>
      </c>
      <c r="C11" s="3">
        <v>461911.51</v>
      </c>
      <c r="D11" s="3">
        <v>72449.85</v>
      </c>
      <c r="E11" s="4">
        <f t="shared" si="1"/>
        <v>0.1568478993</v>
      </c>
    </row>
    <row r="12">
      <c r="A12" s="2" t="s">
        <v>8</v>
      </c>
      <c r="B12" s="2" t="s">
        <v>18</v>
      </c>
      <c r="C12" s="3">
        <v>385578.26</v>
      </c>
      <c r="D12" s="3">
        <v>46967.43</v>
      </c>
      <c r="E12" s="4">
        <f t="shared" si="1"/>
        <v>0.1218103687</v>
      </c>
    </row>
    <row r="13">
      <c r="A13" s="2" t="s">
        <v>11</v>
      </c>
      <c r="B13" s="2" t="s">
        <v>19</v>
      </c>
      <c r="C13" s="3">
        <v>372091.97</v>
      </c>
      <c r="D13" s="3">
        <v>57953.91</v>
      </c>
      <c r="E13" s="4">
        <f t="shared" si="1"/>
        <v>0.155751574</v>
      </c>
    </row>
    <row r="14">
      <c r="A14" s="2" t="s">
        <v>11</v>
      </c>
      <c r="B14" s="2" t="s">
        <v>20</v>
      </c>
      <c r="C14" s="3">
        <v>244291.72</v>
      </c>
      <c r="D14" s="3">
        <v>59207.68</v>
      </c>
      <c r="E14" s="4">
        <f t="shared" si="1"/>
        <v>0.2423646614</v>
      </c>
    </row>
    <row r="15">
      <c r="A15" s="2" t="s">
        <v>11</v>
      </c>
      <c r="B15" s="2" t="s">
        <v>21</v>
      </c>
      <c r="C15" s="3">
        <v>243074.22</v>
      </c>
      <c r="D15" s="3">
        <v>22583.26</v>
      </c>
      <c r="E15" s="4">
        <f t="shared" si="1"/>
        <v>0.0929068496</v>
      </c>
    </row>
    <row r="16">
      <c r="A16" s="2" t="s">
        <v>11</v>
      </c>
      <c r="B16" s="2" t="s">
        <v>22</v>
      </c>
      <c r="C16" s="3">
        <v>170904.3</v>
      </c>
      <c r="D16" s="3">
        <v>29601.12</v>
      </c>
      <c r="E16" s="4">
        <f t="shared" si="1"/>
        <v>0.1732028978</v>
      </c>
    </row>
    <row r="17">
      <c r="A17" s="2" t="s">
        <v>11</v>
      </c>
      <c r="B17" s="2" t="s">
        <v>23</v>
      </c>
      <c r="C17" s="3">
        <v>83242.32</v>
      </c>
      <c r="D17" s="3">
        <v>11525.42</v>
      </c>
      <c r="E17" s="4">
        <f t="shared" si="1"/>
        <v>0.1384562564</v>
      </c>
    </row>
    <row r="18">
      <c r="A18" s="2" t="s">
        <v>11</v>
      </c>
      <c r="B18" s="2" t="s">
        <v>24</v>
      </c>
      <c r="C18" s="3">
        <v>73404.03</v>
      </c>
      <c r="D18" s="3">
        <v>15010.51</v>
      </c>
      <c r="E18" s="4">
        <f t="shared" si="1"/>
        <v>0.2044916335</v>
      </c>
    </row>
    <row r="19">
      <c r="C19" s="5">
        <f t="shared" ref="C19:D19" si="2">SUM(C2:C18)</f>
        <v>12642501.92</v>
      </c>
      <c r="D19" s="5">
        <f t="shared" si="2"/>
        <v>1467457.3</v>
      </c>
      <c r="E19" s="4">
        <f t="shared" si="1"/>
        <v>0.1160733302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0.25"/>
    <col customWidth="1" min="3" max="3" width="11.75"/>
    <col customWidth="1" min="4" max="4" width="23.13"/>
    <col customWidth="1" min="5" max="26" width="12.88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</row>
    <row r="2">
      <c r="A2" s="2" t="s">
        <v>29</v>
      </c>
      <c r="B2" s="2" t="s">
        <v>30</v>
      </c>
      <c r="C2" s="2">
        <v>37457.33</v>
      </c>
      <c r="D2" s="2">
        <v>8672.9</v>
      </c>
    </row>
    <row r="3">
      <c r="A3" s="2" t="s">
        <v>31</v>
      </c>
      <c r="B3" s="2" t="s">
        <v>32</v>
      </c>
      <c r="C3" s="2">
        <v>29602.14</v>
      </c>
      <c r="D3" s="2">
        <v>8453.05</v>
      </c>
    </row>
    <row r="4">
      <c r="A4" s="2" t="s">
        <v>33</v>
      </c>
      <c r="B4" s="2" t="s">
        <v>32</v>
      </c>
      <c r="C4" s="2">
        <v>26521.13</v>
      </c>
      <c r="D4" s="2">
        <v>8205.38</v>
      </c>
    </row>
    <row r="5">
      <c r="A5" s="2" t="s">
        <v>34</v>
      </c>
      <c r="B5" s="2" t="s">
        <v>32</v>
      </c>
      <c r="C5" s="2">
        <v>30243.57</v>
      </c>
      <c r="D5" s="2">
        <v>7816.57</v>
      </c>
    </row>
    <row r="6">
      <c r="A6" s="2" t="s">
        <v>35</v>
      </c>
      <c r="B6" s="2" t="s">
        <v>36</v>
      </c>
      <c r="C6" s="2">
        <v>28479.17</v>
      </c>
      <c r="D6" s="2">
        <v>7410.01</v>
      </c>
    </row>
    <row r="7">
      <c r="A7" s="2" t="s">
        <v>37</v>
      </c>
      <c r="B7" s="2" t="s">
        <v>30</v>
      </c>
      <c r="C7" s="2">
        <v>28476.94</v>
      </c>
      <c r="D7" s="2">
        <v>6958.29</v>
      </c>
    </row>
    <row r="8">
      <c r="A8" s="2" t="s">
        <v>38</v>
      </c>
      <c r="B8" s="2" t="s">
        <v>32</v>
      </c>
      <c r="C8" s="2">
        <v>29020.6</v>
      </c>
      <c r="D8" s="2">
        <v>6484.41</v>
      </c>
    </row>
    <row r="9">
      <c r="A9" s="2" t="s">
        <v>39</v>
      </c>
      <c r="B9" s="2" t="s">
        <v>32</v>
      </c>
      <c r="C9" s="2">
        <v>23377.07</v>
      </c>
      <c r="D9" s="2">
        <v>6458.68</v>
      </c>
    </row>
    <row r="10">
      <c r="A10" s="2" t="s">
        <v>40</v>
      </c>
      <c r="B10" s="2" t="s">
        <v>32</v>
      </c>
      <c r="C10" s="2">
        <v>25123.18</v>
      </c>
      <c r="D10" s="2">
        <v>6417.28</v>
      </c>
    </row>
    <row r="11">
      <c r="A11" s="2" t="s">
        <v>41</v>
      </c>
      <c r="B11" s="2" t="s">
        <v>36</v>
      </c>
      <c r="C11" s="2">
        <v>40488.07</v>
      </c>
      <c r="D11" s="2">
        <v>6311.98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5"/>
  </cols>
  <sheetData>
    <row r="1">
      <c r="A1" s="1" t="s">
        <v>42</v>
      </c>
      <c r="B1" s="1" t="s">
        <v>43</v>
      </c>
      <c r="C1" s="1" t="s">
        <v>2</v>
      </c>
      <c r="D1" s="1" t="s">
        <v>3</v>
      </c>
      <c r="E1" s="1" t="s">
        <v>44</v>
      </c>
    </row>
    <row r="2">
      <c r="A2" s="2" t="s">
        <v>45</v>
      </c>
      <c r="B2" s="2" t="s">
        <v>45</v>
      </c>
      <c r="C2" s="2">
        <v>66928.17</v>
      </c>
      <c r="D2" s="2">
        <v>17817.39</v>
      </c>
      <c r="E2" s="2">
        <v>26.62</v>
      </c>
    </row>
    <row r="3">
      <c r="A3" s="2" t="s">
        <v>46</v>
      </c>
      <c r="B3" s="2" t="s">
        <v>47</v>
      </c>
      <c r="C3" s="2">
        <v>848309.78</v>
      </c>
      <c r="D3" s="2">
        <v>165578.42</v>
      </c>
      <c r="E3" s="2">
        <v>19.52</v>
      </c>
    </row>
    <row r="4">
      <c r="A4" s="2" t="s">
        <v>48</v>
      </c>
      <c r="B4" s="2" t="s">
        <v>47</v>
      </c>
      <c r="C4" s="2">
        <v>752826.57</v>
      </c>
      <c r="D4" s="2">
        <v>132480.19</v>
      </c>
      <c r="E4" s="2">
        <v>17.6</v>
      </c>
    </row>
    <row r="5">
      <c r="A5" s="2" t="s">
        <v>49</v>
      </c>
      <c r="B5" s="2" t="s">
        <v>50</v>
      </c>
      <c r="C5" s="2">
        <v>1248165.6</v>
      </c>
      <c r="D5" s="2">
        <v>194597.95</v>
      </c>
      <c r="E5" s="2">
        <v>15.59</v>
      </c>
    </row>
    <row r="6">
      <c r="A6" s="2" t="s">
        <v>51</v>
      </c>
      <c r="B6" s="2" t="s">
        <v>52</v>
      </c>
      <c r="C6" s="2">
        <v>725457.82</v>
      </c>
      <c r="D6" s="2">
        <v>108418.45</v>
      </c>
      <c r="E6" s="2">
        <v>14.94</v>
      </c>
    </row>
    <row r="7">
      <c r="A7" s="2" t="s">
        <v>53</v>
      </c>
      <c r="B7" s="2" t="s">
        <v>52</v>
      </c>
      <c r="C7" s="2">
        <v>678781.24</v>
      </c>
      <c r="D7" s="2">
        <v>91522.78</v>
      </c>
      <c r="E7" s="2">
        <v>13.48</v>
      </c>
    </row>
    <row r="8">
      <c r="A8" s="2" t="s">
        <v>54</v>
      </c>
      <c r="B8" s="2" t="s">
        <v>54</v>
      </c>
      <c r="C8" s="2">
        <v>783773.21</v>
      </c>
      <c r="D8" s="2">
        <v>88871.63</v>
      </c>
      <c r="E8" s="2">
        <v>11.34</v>
      </c>
    </row>
    <row r="9">
      <c r="A9" s="2" t="s">
        <v>55</v>
      </c>
      <c r="B9" s="2" t="s">
        <v>50</v>
      </c>
      <c r="C9" s="2">
        <v>2822302.52</v>
      </c>
      <c r="D9" s="2">
        <v>311403.98</v>
      </c>
      <c r="E9" s="2">
        <v>11.03</v>
      </c>
    </row>
    <row r="10">
      <c r="A10" s="2" t="s">
        <v>56</v>
      </c>
      <c r="B10" s="2" t="s">
        <v>47</v>
      </c>
      <c r="C10" s="2">
        <v>1100184.61</v>
      </c>
      <c r="D10" s="2">
        <v>120089.11</v>
      </c>
      <c r="E10" s="2">
        <v>10.92</v>
      </c>
    </row>
    <row r="11">
      <c r="A11" s="2" t="s">
        <v>57</v>
      </c>
      <c r="B11" s="2" t="s">
        <v>58</v>
      </c>
      <c r="C11" s="2">
        <v>324280.86</v>
      </c>
      <c r="D11" s="2">
        <v>34571.32</v>
      </c>
      <c r="E11" s="2">
        <v>10.66</v>
      </c>
    </row>
    <row r="12">
      <c r="A12" s="2" t="s">
        <v>59</v>
      </c>
      <c r="B12" s="2" t="s">
        <v>52</v>
      </c>
      <c r="C12" s="2">
        <v>1600907.04</v>
      </c>
      <c r="D12" s="2">
        <v>140355.77</v>
      </c>
      <c r="E12" s="2">
        <v>8.77</v>
      </c>
    </row>
    <row r="13">
      <c r="A13" s="2" t="s">
        <v>60</v>
      </c>
      <c r="B13" s="2" t="s">
        <v>60</v>
      </c>
      <c r="C13" s="2">
        <v>806161.31</v>
      </c>
      <c r="D13" s="2">
        <v>43897.97</v>
      </c>
      <c r="E13" s="2">
        <v>5.45</v>
      </c>
    </row>
    <row r="14">
      <c r="A14" s="2" t="s">
        <v>61</v>
      </c>
      <c r="B14" s="2" t="s">
        <v>47</v>
      </c>
      <c r="C14" s="2">
        <v>884423.17</v>
      </c>
      <c r="D14" s="2">
        <v>17852.33</v>
      </c>
      <c r="E14" s="2">
        <v>2.02</v>
      </c>
    </row>
  </sheetData>
  <drawing r:id="rId1"/>
</worksheet>
</file>